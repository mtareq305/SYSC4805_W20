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Documents\Fourth Year Uni (Engineering)\SYSC4805\"/>
    </mc:Choice>
  </mc:AlternateContent>
  <xr:revisionPtr revIDLastSave="0" documentId="13_ncr:1_{2DE1D35E-DD10-4F1E-A307-DCC2E3E0B941}" xr6:coauthVersionLast="44" xr6:coauthVersionMax="44" xr10:uidLastSave="{00000000-0000-0000-0000-000000000000}"/>
  <bookViews>
    <workbookView xWindow="-108" yWindow="-108" windowWidth="23256" windowHeight="12576" xr2:uid="{6C8E8813-2ED4-4B96-AFE1-15AAB711A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E12" i="1"/>
  <c r="E13" i="1"/>
  <c r="E14" i="1"/>
  <c r="E15" i="1"/>
  <c r="E3" i="1"/>
  <c r="E4" i="1"/>
  <c r="E5" i="1"/>
  <c r="E6" i="1"/>
  <c r="E7" i="1"/>
  <c r="E8" i="1"/>
  <c r="E9" i="1"/>
  <c r="E10" i="1"/>
  <c r="E11" i="1"/>
  <c r="D12" i="1"/>
  <c r="D13" i="1"/>
  <c r="D14" i="1"/>
  <c r="D15" i="1"/>
  <c r="D3" i="1"/>
  <c r="D4" i="1"/>
  <c r="D5" i="1"/>
  <c r="D6" i="1"/>
  <c r="D7" i="1"/>
  <c r="D8" i="1"/>
  <c r="D9" i="1"/>
  <c r="D10" i="1"/>
  <c r="D11" i="1"/>
  <c r="C12" i="1"/>
  <c r="C13" i="1"/>
  <c r="C14" i="1"/>
  <c r="C15" i="1"/>
  <c r="C3" i="1"/>
  <c r="C4" i="1"/>
  <c r="C5" i="1"/>
  <c r="C6" i="1"/>
  <c r="C7" i="1"/>
  <c r="C8" i="1"/>
  <c r="C9" i="1"/>
  <c r="C10" i="1"/>
  <c r="C11" i="1"/>
  <c r="B18" i="1"/>
  <c r="B17" i="1"/>
  <c r="F3" i="1" l="1"/>
  <c r="F7" i="1"/>
  <c r="F11" i="1"/>
  <c r="F4" i="1"/>
  <c r="F8" i="1"/>
  <c r="F2" i="1"/>
  <c r="F5" i="1"/>
  <c r="F9" i="1"/>
  <c r="F6" i="1"/>
  <c r="F10" i="1"/>
  <c r="D2" i="1"/>
  <c r="E2" i="1"/>
  <c r="C2" i="1"/>
</calcChain>
</file>

<file path=xl/sharedStrings.xml><?xml version="1.0" encoding="utf-8"?>
<sst xmlns="http://schemas.openxmlformats.org/spreadsheetml/2006/main" count="8" uniqueCount="7">
  <si>
    <t>Mean</t>
  </si>
  <si>
    <t>SD</t>
  </si>
  <si>
    <t>Standard Deviation</t>
  </si>
  <si>
    <t>Sample Run</t>
  </si>
  <si>
    <t>Deviation From Target (Distance)</t>
  </si>
  <si>
    <t>UCL (3σ)</t>
  </si>
  <si>
    <t>LCL (3σ)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</si>
</sst>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UltraSonic Control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Deviation From Target (Distance)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Sheet1!$B$2:$B$15</c:f>
              <c:numCache>
                <c:formatCode>General</c:formatCode>
                <c:ptCount val="14"/>
                <c:pt idx="0">
                  <c:v>0.45</c:v>
                </c:pt>
                <c:pt idx="1">
                  <c:v>0.44</c:v>
                </c:pt>
                <c:pt idx="2">
                  <c:v>18.739999999999998</c:v>
                </c:pt>
                <c:pt idx="3">
                  <c:v>0.44</c:v>
                </c:pt>
                <c:pt idx="4">
                  <c:v>0.44</c:v>
                </c:pt>
                <c:pt idx="5">
                  <c:v>0.44</c:v>
                </c:pt>
                <c:pt idx="6">
                  <c:v>19.5</c:v>
                </c:pt>
                <c:pt idx="7">
                  <c:v>0.45</c:v>
                </c:pt>
                <c:pt idx="8">
                  <c:v>19.72</c:v>
                </c:pt>
                <c:pt idx="9">
                  <c:v>0.45</c:v>
                </c:pt>
                <c:pt idx="10">
                  <c:v>0.44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C-4DC0-8FC1-4DECD2E8D174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Mean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Sheet1!$C$2:$C$15</c:f>
              <c:numCache>
                <c:formatCode>General</c:formatCode>
                <c:ptCount val="14"/>
                <c:pt idx="0">
                  <c:v>4.4900000000000011</c:v>
                </c:pt>
                <c:pt idx="1">
                  <c:v>4.4900000000000011</c:v>
                </c:pt>
                <c:pt idx="2">
                  <c:v>4.4900000000000011</c:v>
                </c:pt>
                <c:pt idx="3">
                  <c:v>4.4900000000000011</c:v>
                </c:pt>
                <c:pt idx="4">
                  <c:v>4.4900000000000011</c:v>
                </c:pt>
                <c:pt idx="5">
                  <c:v>4.4900000000000011</c:v>
                </c:pt>
                <c:pt idx="6">
                  <c:v>4.4900000000000011</c:v>
                </c:pt>
                <c:pt idx="7">
                  <c:v>4.4900000000000011</c:v>
                </c:pt>
                <c:pt idx="8">
                  <c:v>4.4900000000000011</c:v>
                </c:pt>
                <c:pt idx="9">
                  <c:v>4.4900000000000011</c:v>
                </c:pt>
                <c:pt idx="10">
                  <c:v>4.4900000000000011</c:v>
                </c:pt>
                <c:pt idx="11">
                  <c:v>4.4900000000000011</c:v>
                </c:pt>
                <c:pt idx="12">
                  <c:v>4.4900000000000011</c:v>
                </c:pt>
                <c:pt idx="13">
                  <c:v>4.4900000000000011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6C-4DC0-8FC1-4DECD2E8D174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UCL (3σ)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Sheet1!$D$2:$D$15</c:f>
              <c:numCache>
                <c:formatCode>General</c:formatCode>
                <c:ptCount val="14"/>
                <c:pt idx="0">
                  <c:v>28.608805940593331</c:v>
                </c:pt>
                <c:pt idx="1">
                  <c:v>28.608805940593331</c:v>
                </c:pt>
                <c:pt idx="2">
                  <c:v>28.608805940593331</c:v>
                </c:pt>
                <c:pt idx="3">
                  <c:v>28.608805940593331</c:v>
                </c:pt>
                <c:pt idx="4">
                  <c:v>28.608805940593331</c:v>
                </c:pt>
                <c:pt idx="5">
                  <c:v>28.608805940593331</c:v>
                </c:pt>
                <c:pt idx="6">
                  <c:v>28.608805940593331</c:v>
                </c:pt>
                <c:pt idx="7">
                  <c:v>28.608805940593331</c:v>
                </c:pt>
                <c:pt idx="8">
                  <c:v>28.608805940593331</c:v>
                </c:pt>
                <c:pt idx="9">
                  <c:v>28.608805940593331</c:v>
                </c:pt>
                <c:pt idx="10">
                  <c:v>28.608805940593331</c:v>
                </c:pt>
                <c:pt idx="11">
                  <c:v>28.608805940593331</c:v>
                </c:pt>
                <c:pt idx="12">
                  <c:v>28.608805940593331</c:v>
                </c:pt>
                <c:pt idx="13">
                  <c:v>28.608805940593331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6C-4DC0-8FC1-4DECD2E8D174}"/>
            </c:ext>
          </c:extLst>
        </c:ser>
        <c:ser>
          <c:idx val="4"/>
          <c:order val="3"/>
          <c:tx>
            <c:strRef>
              <c:f>Sheet1!$E$1</c:f>
              <c:strCache>
                <c:ptCount val="1"/>
                <c:pt idx="0">
                  <c:v>LCL (3σ)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Sheet1!$E$2:$E$15</c:f>
              <c:numCache>
                <c:formatCode>General</c:formatCode>
                <c:ptCount val="14"/>
                <c:pt idx="0">
                  <c:v>-19.628805940593328</c:v>
                </c:pt>
                <c:pt idx="1">
                  <c:v>-19.628805940593328</c:v>
                </c:pt>
                <c:pt idx="2">
                  <c:v>-19.628805940593328</c:v>
                </c:pt>
                <c:pt idx="3">
                  <c:v>-19.628805940593328</c:v>
                </c:pt>
                <c:pt idx="4">
                  <c:v>-19.628805940593328</c:v>
                </c:pt>
                <c:pt idx="5">
                  <c:v>-19.628805940593328</c:v>
                </c:pt>
                <c:pt idx="6">
                  <c:v>-19.628805940593328</c:v>
                </c:pt>
                <c:pt idx="7">
                  <c:v>-19.628805940593328</c:v>
                </c:pt>
                <c:pt idx="8">
                  <c:v>-19.628805940593328</c:v>
                </c:pt>
                <c:pt idx="9">
                  <c:v>-19.628805940593328</c:v>
                </c:pt>
                <c:pt idx="10">
                  <c:v>-19.628805940593328</c:v>
                </c:pt>
                <c:pt idx="11">
                  <c:v>-19.628805940593328</c:v>
                </c:pt>
                <c:pt idx="12">
                  <c:v>-19.628805940593328</c:v>
                </c:pt>
                <c:pt idx="13">
                  <c:v>-19.628805940593328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6C-4DC0-8FC1-4DECD2E8D174}"/>
            </c:ext>
          </c:extLst>
        </c:ser>
        <c:ser>
          <c:idx val="0"/>
          <c:order val="4"/>
          <c:tx>
            <c:strRef>
              <c:f>Sheet1!$F$1</c:f>
              <c:strCache>
                <c:ptCount val="1"/>
                <c:pt idx="0">
                  <c:v>Standard Deviation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Sheet1!$F$2:$F$15</c:f>
              <c:numCache>
                <c:formatCode>General</c:formatCode>
                <c:ptCount val="14"/>
                <c:pt idx="0">
                  <c:v>8.0396019801977765</c:v>
                </c:pt>
                <c:pt idx="1">
                  <c:v>8.0396019801977765</c:v>
                </c:pt>
                <c:pt idx="2">
                  <c:v>8.0396019801977765</c:v>
                </c:pt>
                <c:pt idx="3">
                  <c:v>8.0396019801977765</c:v>
                </c:pt>
                <c:pt idx="4">
                  <c:v>8.0396019801977765</c:v>
                </c:pt>
                <c:pt idx="5">
                  <c:v>8.0396019801977765</c:v>
                </c:pt>
                <c:pt idx="6">
                  <c:v>8.0396019801977765</c:v>
                </c:pt>
                <c:pt idx="7">
                  <c:v>8.0396019801977765</c:v>
                </c:pt>
                <c:pt idx="8">
                  <c:v>8.0396019801977765</c:v>
                </c:pt>
                <c:pt idx="9">
                  <c:v>8.0396019801977765</c:v>
                </c:pt>
                <c:pt idx="10">
                  <c:v>8.0396019801977765</c:v>
                </c:pt>
                <c:pt idx="11">
                  <c:v>8.0396019801977765</c:v>
                </c:pt>
                <c:pt idx="12">
                  <c:v>8.0396019801977765</c:v>
                </c:pt>
                <c:pt idx="13">
                  <c:v>8.0396019801977765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5-4641-8714-2716C7E6D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119336"/>
        <c:axId val="387115072"/>
      </c:lineChart>
      <c:catAx>
        <c:axId val="387119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Run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15072"/>
        <c:crosses val="autoZero"/>
        <c:auto val="1"/>
        <c:lblAlgn val="ctr"/>
        <c:lblOffset val="100"/>
        <c:noMultiLvlLbl val="0"/>
      </c:catAx>
      <c:valAx>
        <c:axId val="38711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Deviations From Target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1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0</xdr:row>
      <xdr:rowOff>53340</xdr:rowOff>
    </xdr:from>
    <xdr:to>
      <xdr:col>18</xdr:col>
      <xdr:colOff>190500</xdr:colOff>
      <xdr:row>24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C29F1-9C41-4FBB-A863-8DDBBACEB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87BD-AEA9-4BC6-BFE6-85E03C23259A}">
  <dimension ref="A1:F18"/>
  <sheetViews>
    <sheetView tabSelected="1" workbookViewId="0">
      <selection sqref="A1:F15"/>
    </sheetView>
  </sheetViews>
  <sheetFormatPr defaultRowHeight="14.4" x14ac:dyDescent="0.3"/>
  <cols>
    <col min="1" max="1" width="10.44140625" bestFit="1" customWidth="1"/>
    <col min="2" max="2" width="28.109375" bestFit="1" customWidth="1"/>
    <col min="3" max="3" width="10.88671875" bestFit="1" customWidth="1"/>
    <col min="4" max="4" width="13.77734375" bestFit="1" customWidth="1"/>
    <col min="5" max="6" width="16.5546875" bestFit="1" customWidth="1"/>
  </cols>
  <sheetData>
    <row r="1" spans="1:6" x14ac:dyDescent="0.3">
      <c r="A1" t="s">
        <v>3</v>
      </c>
      <c r="B1" t="s">
        <v>4</v>
      </c>
      <c r="C1" t="s">
        <v>0</v>
      </c>
      <c r="D1" t="s">
        <v>5</v>
      </c>
      <c r="E1" t="s">
        <v>6</v>
      </c>
      <c r="F1" t="s">
        <v>2</v>
      </c>
    </row>
    <row r="2" spans="1:6" x14ac:dyDescent="0.3">
      <c r="A2">
        <v>1</v>
      </c>
      <c r="B2">
        <v>0.45</v>
      </c>
      <c r="C2">
        <f>$B$17</f>
        <v>4.4900000000000011</v>
      </c>
      <c r="D2">
        <f>$B$17+($B$18*3)</f>
        <v>28.608805940593331</v>
      </c>
      <c r="E2">
        <f>$B$17-($B$18*3)</f>
        <v>-19.628805940593328</v>
      </c>
      <c r="F2">
        <f>$B$18</f>
        <v>8.0396019801977765</v>
      </c>
    </row>
    <row r="3" spans="1:6" x14ac:dyDescent="0.3">
      <c r="A3">
        <v>2</v>
      </c>
      <c r="B3">
        <v>0.44</v>
      </c>
      <c r="C3">
        <f t="shared" ref="C3:C15" si="0">$B$17</f>
        <v>4.4900000000000011</v>
      </c>
      <c r="D3">
        <f t="shared" ref="D3:D15" si="1">$B$17+($B$18*3)</f>
        <v>28.608805940593331</v>
      </c>
      <c r="E3">
        <f t="shared" ref="E3:E15" si="2">$B$17-($B$18*3)</f>
        <v>-19.628805940593328</v>
      </c>
      <c r="F3">
        <f t="shared" ref="F3:F15" si="3">$B$18</f>
        <v>8.0396019801977765</v>
      </c>
    </row>
    <row r="4" spans="1:6" x14ac:dyDescent="0.3">
      <c r="A4">
        <v>3</v>
      </c>
      <c r="B4">
        <v>18.739999999999998</v>
      </c>
      <c r="C4">
        <f t="shared" si="0"/>
        <v>4.4900000000000011</v>
      </c>
      <c r="D4">
        <f t="shared" si="1"/>
        <v>28.608805940593331</v>
      </c>
      <c r="E4">
        <f t="shared" si="2"/>
        <v>-19.628805940593328</v>
      </c>
      <c r="F4">
        <f t="shared" si="3"/>
        <v>8.0396019801977765</v>
      </c>
    </row>
    <row r="5" spans="1:6" x14ac:dyDescent="0.3">
      <c r="A5">
        <v>4</v>
      </c>
      <c r="B5">
        <v>0.44</v>
      </c>
      <c r="C5">
        <f t="shared" si="0"/>
        <v>4.4900000000000011</v>
      </c>
      <c r="D5">
        <f t="shared" si="1"/>
        <v>28.608805940593331</v>
      </c>
      <c r="E5">
        <f t="shared" si="2"/>
        <v>-19.628805940593328</v>
      </c>
      <c r="F5">
        <f t="shared" si="3"/>
        <v>8.0396019801977765</v>
      </c>
    </row>
    <row r="6" spans="1:6" x14ac:dyDescent="0.3">
      <c r="A6">
        <v>5</v>
      </c>
      <c r="B6">
        <v>0.44</v>
      </c>
      <c r="C6">
        <f t="shared" si="0"/>
        <v>4.4900000000000011</v>
      </c>
      <c r="D6">
        <f t="shared" si="1"/>
        <v>28.608805940593331</v>
      </c>
      <c r="E6">
        <f t="shared" si="2"/>
        <v>-19.628805940593328</v>
      </c>
      <c r="F6">
        <f t="shared" si="3"/>
        <v>8.0396019801977765</v>
      </c>
    </row>
    <row r="7" spans="1:6" x14ac:dyDescent="0.3">
      <c r="A7">
        <v>6</v>
      </c>
      <c r="B7">
        <v>0.44</v>
      </c>
      <c r="C7">
        <f t="shared" si="0"/>
        <v>4.4900000000000011</v>
      </c>
      <c r="D7">
        <f t="shared" si="1"/>
        <v>28.608805940593331</v>
      </c>
      <c r="E7">
        <f t="shared" si="2"/>
        <v>-19.628805940593328</v>
      </c>
      <c r="F7">
        <f t="shared" si="3"/>
        <v>8.0396019801977765</v>
      </c>
    </row>
    <row r="8" spans="1:6" x14ac:dyDescent="0.3">
      <c r="A8">
        <v>7</v>
      </c>
      <c r="B8">
        <v>19.5</v>
      </c>
      <c r="C8">
        <f t="shared" si="0"/>
        <v>4.4900000000000011</v>
      </c>
      <c r="D8">
        <f t="shared" si="1"/>
        <v>28.608805940593331</v>
      </c>
      <c r="E8">
        <f t="shared" si="2"/>
        <v>-19.628805940593328</v>
      </c>
      <c r="F8">
        <f t="shared" si="3"/>
        <v>8.0396019801977765</v>
      </c>
    </row>
    <row r="9" spans="1:6" x14ac:dyDescent="0.3">
      <c r="A9">
        <v>8</v>
      </c>
      <c r="B9">
        <v>0.45</v>
      </c>
      <c r="C9">
        <f t="shared" si="0"/>
        <v>4.4900000000000011</v>
      </c>
      <c r="D9">
        <f t="shared" si="1"/>
        <v>28.608805940593331</v>
      </c>
      <c r="E9">
        <f t="shared" si="2"/>
        <v>-19.628805940593328</v>
      </c>
      <c r="F9">
        <f t="shared" si="3"/>
        <v>8.0396019801977765</v>
      </c>
    </row>
    <row r="10" spans="1:6" x14ac:dyDescent="0.3">
      <c r="A10">
        <v>9</v>
      </c>
      <c r="B10">
        <v>19.72</v>
      </c>
      <c r="C10">
        <f t="shared" si="0"/>
        <v>4.4900000000000011</v>
      </c>
      <c r="D10">
        <f t="shared" si="1"/>
        <v>28.608805940593331</v>
      </c>
      <c r="E10">
        <f t="shared" si="2"/>
        <v>-19.628805940593328</v>
      </c>
      <c r="F10">
        <f t="shared" si="3"/>
        <v>8.0396019801977765</v>
      </c>
    </row>
    <row r="11" spans="1:6" x14ac:dyDescent="0.3">
      <c r="A11">
        <v>10</v>
      </c>
      <c r="B11">
        <v>0.45</v>
      </c>
      <c r="C11">
        <f t="shared" si="0"/>
        <v>4.4900000000000011</v>
      </c>
      <c r="D11">
        <f t="shared" si="1"/>
        <v>28.608805940593331</v>
      </c>
      <c r="E11">
        <f t="shared" si="2"/>
        <v>-19.628805940593328</v>
      </c>
      <c r="F11">
        <f t="shared" si="3"/>
        <v>8.0396019801977765</v>
      </c>
    </row>
    <row r="12" spans="1:6" x14ac:dyDescent="0.3">
      <c r="A12">
        <v>11</v>
      </c>
      <c r="B12">
        <v>0.44</v>
      </c>
      <c r="C12">
        <f>$B$17</f>
        <v>4.4900000000000011</v>
      </c>
      <c r="D12">
        <f>$B$17+($B$18*3)</f>
        <v>28.608805940593331</v>
      </c>
      <c r="E12">
        <f>$B$17-($B$18*3)</f>
        <v>-19.628805940593328</v>
      </c>
      <c r="F12">
        <f t="shared" si="3"/>
        <v>8.0396019801977765</v>
      </c>
    </row>
    <row r="13" spans="1:6" x14ac:dyDescent="0.3">
      <c r="A13">
        <v>12</v>
      </c>
      <c r="B13">
        <v>0.45</v>
      </c>
      <c r="C13">
        <f t="shared" si="0"/>
        <v>4.4900000000000011</v>
      </c>
      <c r="D13">
        <f t="shared" si="1"/>
        <v>28.608805940593331</v>
      </c>
      <c r="E13">
        <f t="shared" si="2"/>
        <v>-19.628805940593328</v>
      </c>
      <c r="F13">
        <f t="shared" si="3"/>
        <v>8.0396019801977765</v>
      </c>
    </row>
    <row r="14" spans="1:6" x14ac:dyDescent="0.3">
      <c r="A14">
        <v>13</v>
      </c>
      <c r="B14">
        <v>0.45</v>
      </c>
      <c r="C14">
        <f t="shared" si="0"/>
        <v>4.4900000000000011</v>
      </c>
      <c r="D14">
        <f t="shared" si="1"/>
        <v>28.608805940593331</v>
      </c>
      <c r="E14">
        <f t="shared" si="2"/>
        <v>-19.628805940593328</v>
      </c>
      <c r="F14">
        <f t="shared" si="3"/>
        <v>8.0396019801977765</v>
      </c>
    </row>
    <row r="15" spans="1:6" x14ac:dyDescent="0.3">
      <c r="A15">
        <v>14</v>
      </c>
      <c r="B15">
        <v>0.45</v>
      </c>
      <c r="C15">
        <f t="shared" si="0"/>
        <v>4.4900000000000011</v>
      </c>
      <c r="D15">
        <f t="shared" si="1"/>
        <v>28.608805940593331</v>
      </c>
      <c r="E15">
        <f t="shared" si="2"/>
        <v>-19.628805940593328</v>
      </c>
      <c r="F15">
        <f t="shared" si="3"/>
        <v>8.0396019801977765</v>
      </c>
    </row>
    <row r="17" spans="1:2" x14ac:dyDescent="0.3">
      <c r="A17" t="s">
        <v>0</v>
      </c>
      <c r="B17">
        <f>AVERAGE(B2:B15)</f>
        <v>4.4900000000000011</v>
      </c>
    </row>
    <row r="18" spans="1:2" x14ac:dyDescent="0.3">
      <c r="A18" t="s">
        <v>1</v>
      </c>
      <c r="B18">
        <f>_xlfn.STDEV.S(B2:B15)</f>
        <v>8.0396019801977765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ASUS-BLUE</dc:creator>
  <cp:lastModifiedBy>ASUS-BLUE</cp:lastModifiedBy>
  <dcterms:created xsi:type="dcterms:W3CDTF">2020-04-04T14:35:47Z</dcterms:created>
  <dcterms:modified xsi:type="dcterms:W3CDTF">2020-04-06T00:38:51Z</dcterms:modified>
</cp:coreProperties>
</file>
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\Desktop\4thYear\S2\SYSC 4805\"/>
    </mc:Choice>
  </mc:AlternateContent>
  <xr:revisionPtr revIDLastSave="0" documentId="13_ncr:1_{84EB6216-01C7-4F8B-8F77-F287507E34FF}" xr6:coauthVersionLast="45" xr6:coauthVersionMax="45" xr10:uidLastSave="{00000000-0000-0000-0000-000000000000}"/>
  <bookViews>
    <workbookView xWindow="-120" yWindow="-120" windowWidth="20730" windowHeight="11160" activeTab="1" xr2:uid="{C9DA19ED-AE24-45C6-809A-E9407572B807}"/>
  </bookViews>
  <sheets>
    <sheet name="IntersectionTurns" sheetId="1" r:id="rId1"/>
    <sheet name="LCDPrin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J3" i="2"/>
  <c r="J2" i="2"/>
  <c r="D15" i="1"/>
  <c r="D3" i="1"/>
  <c r="D4" i="1"/>
  <c r="D5" i="1"/>
  <c r="D6" i="1"/>
  <c r="D7" i="1"/>
  <c r="D8" i="1"/>
  <c r="D9" i="1"/>
  <c r="D10" i="1"/>
  <c r="D11" i="1"/>
  <c r="D12" i="1"/>
  <c r="D13" i="1"/>
  <c r="D14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J4" i="1"/>
  <c r="J3" i="1"/>
  <c r="D14" i="2" l="1"/>
  <c r="D10" i="2"/>
  <c r="D8" i="2"/>
  <c r="D15" i="2"/>
  <c r="D12" i="2"/>
  <c r="D2" i="2"/>
  <c r="D6" i="2"/>
  <c r="D4" i="2"/>
  <c r="C12" i="2"/>
  <c r="C14" i="2"/>
  <c r="D3" i="2"/>
  <c r="C5" i="2"/>
  <c r="D7" i="2"/>
  <c r="D9" i="2"/>
  <c r="D11" i="2"/>
  <c r="D13" i="2"/>
  <c r="C7" i="2"/>
  <c r="C4" i="2"/>
  <c r="C13" i="2" l="1"/>
  <c r="D5" i="2"/>
  <c r="C15" i="2"/>
  <c r="C8" i="2"/>
  <c r="C6" i="2"/>
  <c r="C2" i="2"/>
  <c r="C10" i="2"/>
  <c r="C3" i="2"/>
  <c r="C11" i="2"/>
  <c r="C9" i="2"/>
</calcChain>
</file>

<file path=xl/sharedStrings.xml><?xml version="1.0" encoding="utf-8"?>
<sst xmlns="http://schemas.openxmlformats.org/spreadsheetml/2006/main" count="16" uniqueCount="8">
  <si>
    <t>Sample Run</t>
  </si>
  <si>
    <t>Deviation From Target (didn’t complete intersection properly)</t>
  </si>
  <si>
    <t>Mean</t>
  </si>
  <si>
    <t>Standard Deviation</t>
  </si>
  <si>
    <t>LCL (3σ)</t>
  </si>
  <si>
    <t>UCL (3σ)</t>
  </si>
  <si>
    <t>Std. Dev</t>
  </si>
  <si>
    <t>Deviation From Target (missed a turn -1, counted extra turn 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</si>
</sst>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ont="1" applyFill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MazeSolver Intersection Trun 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46203498756208E-2"/>
          <c:y val="0.21469106067940821"/>
          <c:w val="0.76016933902219563"/>
          <c:h val="0.64961289572132597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IntersectionTurns!$B$2:$B$15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0-4F13-BD2A-FCDCF4B18542}"/>
            </c:ext>
          </c:extLst>
        </c:ser>
        <c:ser>
          <c:idx val="6"/>
          <c:order val="1"/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IntersectionTurns!$C$2:$C$15</c:f>
              <c:numCache>
                <c:formatCode>General</c:formatCode>
                <c:ptCount val="14"/>
                <c:pt idx="0">
                  <c:v>5.1391694820524023</c:v>
                </c:pt>
                <c:pt idx="1">
                  <c:v>5.1391694820524023</c:v>
                </c:pt>
                <c:pt idx="2">
                  <c:v>5.1391694820524023</c:v>
                </c:pt>
                <c:pt idx="3">
                  <c:v>5.1391694820524023</c:v>
                </c:pt>
                <c:pt idx="4">
                  <c:v>5.1391694820524023</c:v>
                </c:pt>
                <c:pt idx="5">
                  <c:v>5.1391694820524023</c:v>
                </c:pt>
                <c:pt idx="6">
                  <c:v>5.1391694820524023</c:v>
                </c:pt>
                <c:pt idx="7">
                  <c:v>5.1391694820524023</c:v>
                </c:pt>
                <c:pt idx="8">
                  <c:v>5.1391694820524023</c:v>
                </c:pt>
                <c:pt idx="9">
                  <c:v>5.1391694820524023</c:v>
                </c:pt>
                <c:pt idx="10">
                  <c:v>5.1391694820524023</c:v>
                </c:pt>
                <c:pt idx="11">
                  <c:v>5.1391694820524023</c:v>
                </c:pt>
                <c:pt idx="12">
                  <c:v>5.1391694820524023</c:v>
                </c:pt>
                <c:pt idx="13">
                  <c:v>5.1391694820524023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0-4F13-BD2A-FCDCF4B18542}"/>
            </c:ext>
          </c:extLst>
        </c:ser>
        <c:ser>
          <c:idx val="7"/>
          <c:order val="2"/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IntersectionTurns!$D$2:$D$15</c:f>
              <c:numCache>
                <c:formatCode>General</c:formatCode>
                <c:ptCount val="14"/>
                <c:pt idx="0">
                  <c:v>-0.71059805348097349</c:v>
                </c:pt>
                <c:pt idx="1">
                  <c:v>-0.71059805348097349</c:v>
                </c:pt>
                <c:pt idx="2">
                  <c:v>-0.71059805348097349</c:v>
                </c:pt>
                <c:pt idx="3">
                  <c:v>-0.71059805348097349</c:v>
                </c:pt>
                <c:pt idx="4">
                  <c:v>-0.71059805348097349</c:v>
                </c:pt>
                <c:pt idx="5">
                  <c:v>-0.71059805348097349</c:v>
                </c:pt>
                <c:pt idx="6">
                  <c:v>-0.71059805348097349</c:v>
                </c:pt>
                <c:pt idx="7">
                  <c:v>-0.71059805348097349</c:v>
                </c:pt>
                <c:pt idx="8">
                  <c:v>-0.71059805348097349</c:v>
                </c:pt>
                <c:pt idx="9">
                  <c:v>-0.71059805348097349</c:v>
                </c:pt>
                <c:pt idx="10">
                  <c:v>-0.71059805348097349</c:v>
                </c:pt>
                <c:pt idx="11">
                  <c:v>-0.71059805348097349</c:v>
                </c:pt>
                <c:pt idx="12">
                  <c:v>-0.71059805348097349</c:v>
                </c:pt>
                <c:pt idx="13">
                  <c:v>-0.71059805348097349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0-4F13-BD2A-FCDCF4B18542}"/>
            </c:ext>
          </c:extLst>
        </c:ser>
        <c:ser>
          <c:idx val="8"/>
          <c:order val="3"/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IntersectionTurns!$E$2:$E$15</c:f>
              <c:numCache>
                <c:formatCode>General</c:formatCode>
                <c:ptCount val="14"/>
                <c:pt idx="0">
                  <c:v>2.2142857142857144</c:v>
                </c:pt>
                <c:pt idx="1">
                  <c:v>2.2142857142857144</c:v>
                </c:pt>
                <c:pt idx="2">
                  <c:v>2.2142857142857144</c:v>
                </c:pt>
                <c:pt idx="3">
                  <c:v>2.2142857142857144</c:v>
                </c:pt>
                <c:pt idx="4">
                  <c:v>2.2142857142857144</c:v>
                </c:pt>
                <c:pt idx="5">
                  <c:v>2.2142857142857144</c:v>
                </c:pt>
                <c:pt idx="6">
                  <c:v>2.2142857142857144</c:v>
                </c:pt>
                <c:pt idx="7">
                  <c:v>2.2142857142857144</c:v>
                </c:pt>
                <c:pt idx="8">
                  <c:v>2.2142857142857144</c:v>
                </c:pt>
                <c:pt idx="9">
                  <c:v>2.2142857142857144</c:v>
                </c:pt>
                <c:pt idx="10">
                  <c:v>2.2142857142857144</c:v>
                </c:pt>
                <c:pt idx="11">
                  <c:v>2.2142857142857144</c:v>
                </c:pt>
                <c:pt idx="12">
                  <c:v>2.2142857142857144</c:v>
                </c:pt>
                <c:pt idx="13">
                  <c:v>2.2142857142857144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30-4F13-BD2A-FCDCF4B18542}"/>
            </c:ext>
          </c:extLst>
        </c:ser>
        <c:ser>
          <c:idx val="9"/>
          <c:order val="4"/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IntersectionTurns!$F$2:$F$15</c:f>
              <c:numCache>
                <c:formatCode>General</c:formatCode>
                <c:ptCount val="14"/>
                <c:pt idx="0">
                  <c:v>0.97496125592222938</c:v>
                </c:pt>
                <c:pt idx="1">
                  <c:v>0.97496125592222938</c:v>
                </c:pt>
                <c:pt idx="2">
                  <c:v>0.97496125592222938</c:v>
                </c:pt>
                <c:pt idx="3">
                  <c:v>0.97496125592222938</c:v>
                </c:pt>
                <c:pt idx="4">
                  <c:v>0.97496125592222938</c:v>
                </c:pt>
                <c:pt idx="5">
                  <c:v>0.97496125592222938</c:v>
                </c:pt>
                <c:pt idx="6">
                  <c:v>0.97496125592222938</c:v>
                </c:pt>
                <c:pt idx="7">
                  <c:v>0.97496125592222938</c:v>
                </c:pt>
                <c:pt idx="8">
                  <c:v>0.97496125592222938</c:v>
                </c:pt>
                <c:pt idx="9">
                  <c:v>0.97496125592222938</c:v>
                </c:pt>
                <c:pt idx="10">
                  <c:v>0.97496125592222938</c:v>
                </c:pt>
                <c:pt idx="11">
                  <c:v>0.97496125592222938</c:v>
                </c:pt>
                <c:pt idx="12">
                  <c:v>0.97496125592222938</c:v>
                </c:pt>
                <c:pt idx="13">
                  <c:v>0.97496125592222938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30-4F13-BD2A-FCDCF4B18542}"/>
            </c:ext>
          </c:extLst>
        </c:ser>
        <c:ser>
          <c:idx val="1"/>
          <c:order val="5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IntersectionTurns!$B$2:$B$15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30-4F13-BD2A-FCDCF4B18542}"/>
            </c:ext>
          </c:extLst>
        </c:ser>
        <c:ser>
          <c:idx val="2"/>
          <c:order val="6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Table1[[#Headers],[UCL (3σ)]]</c:f>
                  <c:strCache>
                    <c:ptCount val="1"/>
                    <c:pt idx="0">
                      <c:v>UCL (3σ)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{E10E3F07-77F2-408E-8CD0-6104E6DF6644}</c15:txfldGUID>
                      <c15:f>Table1[[#Headers],[UCL (3σ)]]</c15:f>
                      <c15:dlblFieldTableCache>
                        <c:ptCount val="1"/>
                        <c:pt idx="0">
                          <c:v>UCL (3σ)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330-4F13-BD2A-FCDCF4B18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IntersectionTurns!$C$2:$C$15</c:f>
              <c:numCache>
                <c:formatCode>General</c:formatCode>
                <c:ptCount val="14"/>
                <c:pt idx="0">
                  <c:v>5.1391694820524023</c:v>
                </c:pt>
                <c:pt idx="1">
                  <c:v>5.1391694820524023</c:v>
                </c:pt>
                <c:pt idx="2">
                  <c:v>5.1391694820524023</c:v>
                </c:pt>
                <c:pt idx="3">
                  <c:v>5.1391694820524023</c:v>
                </c:pt>
                <c:pt idx="4">
                  <c:v>5.1391694820524023</c:v>
                </c:pt>
                <c:pt idx="5">
                  <c:v>5.1391694820524023</c:v>
                </c:pt>
                <c:pt idx="6">
                  <c:v>5.1391694820524023</c:v>
                </c:pt>
                <c:pt idx="7">
                  <c:v>5.1391694820524023</c:v>
                </c:pt>
                <c:pt idx="8">
                  <c:v>5.1391694820524023</c:v>
                </c:pt>
                <c:pt idx="9">
                  <c:v>5.1391694820524023</c:v>
                </c:pt>
                <c:pt idx="10">
                  <c:v>5.1391694820524023</c:v>
                </c:pt>
                <c:pt idx="11">
                  <c:v>5.1391694820524023</c:v>
                </c:pt>
                <c:pt idx="12">
                  <c:v>5.1391694820524023</c:v>
                </c:pt>
                <c:pt idx="13">
                  <c:v>5.1391694820524023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30-4F13-BD2A-FCDCF4B18542}"/>
            </c:ext>
          </c:extLst>
        </c:ser>
        <c:ser>
          <c:idx val="3"/>
          <c:order val="7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Table1[[#Headers],[LCL (3σ)]]</c:f>
                  <c:strCache>
                    <c:ptCount val="1"/>
                    <c:pt idx="0">
                      <c:v>LCL (3σ)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{C036FE85-F340-47EB-9D26-CE9A0C818891}</c15:txfldGUID>
                      <c15:f>Table1[[#Headers],[LCL (3σ)]]</c15:f>
                      <c15:dlblFieldTableCache>
                        <c:ptCount val="1"/>
                        <c:pt idx="0">
                          <c:v>LCL (3σ)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330-4F13-BD2A-FCDCF4B18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IntersectionTurns!$D$2:$D$15</c:f>
              <c:numCache>
                <c:formatCode>General</c:formatCode>
                <c:ptCount val="14"/>
                <c:pt idx="0">
                  <c:v>-0.71059805348097349</c:v>
                </c:pt>
                <c:pt idx="1">
                  <c:v>-0.71059805348097349</c:v>
                </c:pt>
                <c:pt idx="2">
                  <c:v>-0.71059805348097349</c:v>
                </c:pt>
                <c:pt idx="3">
                  <c:v>-0.71059805348097349</c:v>
                </c:pt>
                <c:pt idx="4">
                  <c:v>-0.71059805348097349</c:v>
                </c:pt>
                <c:pt idx="5">
                  <c:v>-0.71059805348097349</c:v>
                </c:pt>
                <c:pt idx="6">
                  <c:v>-0.71059805348097349</c:v>
                </c:pt>
                <c:pt idx="7">
                  <c:v>-0.71059805348097349</c:v>
                </c:pt>
                <c:pt idx="8">
                  <c:v>-0.71059805348097349</c:v>
                </c:pt>
                <c:pt idx="9">
                  <c:v>-0.71059805348097349</c:v>
                </c:pt>
                <c:pt idx="10">
                  <c:v>-0.71059805348097349</c:v>
                </c:pt>
                <c:pt idx="11">
                  <c:v>-0.71059805348097349</c:v>
                </c:pt>
                <c:pt idx="12">
                  <c:v>-0.71059805348097349</c:v>
                </c:pt>
                <c:pt idx="13">
                  <c:v>-0.71059805348097349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30-4F13-BD2A-FCDCF4B18542}"/>
            </c:ext>
          </c:extLst>
        </c:ser>
        <c:ser>
          <c:idx val="4"/>
          <c:order val="8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Table1[[#Headers],[Mean]]</c:f>
                  <c:strCache>
                    <c:ptCount val="1"/>
                    <c:pt idx="0">
                      <c:v>Mean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{BB49C5FE-B7FD-4536-953B-0D343B6A24DC}</c15:txfldGUID>
                      <c15:f>Table1[[#Headers],[Mean]]</c15:f>
                      <c15:dlblFieldTableCache>
                        <c:ptCount val="1"/>
                        <c:pt idx="0">
                          <c:v>Mean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330-4F13-BD2A-FCDCF4B18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IntersectionTurns!$E$2:$E$15</c:f>
              <c:numCache>
                <c:formatCode>General</c:formatCode>
                <c:ptCount val="14"/>
                <c:pt idx="0">
                  <c:v>2.2142857142857144</c:v>
                </c:pt>
                <c:pt idx="1">
                  <c:v>2.2142857142857144</c:v>
                </c:pt>
                <c:pt idx="2">
                  <c:v>2.2142857142857144</c:v>
                </c:pt>
                <c:pt idx="3">
                  <c:v>2.2142857142857144</c:v>
                </c:pt>
                <c:pt idx="4">
                  <c:v>2.2142857142857144</c:v>
                </c:pt>
                <c:pt idx="5">
                  <c:v>2.2142857142857144</c:v>
                </c:pt>
                <c:pt idx="6">
                  <c:v>2.2142857142857144</c:v>
                </c:pt>
                <c:pt idx="7">
                  <c:v>2.2142857142857144</c:v>
                </c:pt>
                <c:pt idx="8">
                  <c:v>2.2142857142857144</c:v>
                </c:pt>
                <c:pt idx="9">
                  <c:v>2.2142857142857144</c:v>
                </c:pt>
                <c:pt idx="10">
                  <c:v>2.2142857142857144</c:v>
                </c:pt>
                <c:pt idx="11">
                  <c:v>2.2142857142857144</c:v>
                </c:pt>
                <c:pt idx="12">
                  <c:v>2.2142857142857144</c:v>
                </c:pt>
                <c:pt idx="13">
                  <c:v>2.2142857142857144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30-4F13-BD2A-FCDCF4B18542}"/>
            </c:ext>
          </c:extLst>
        </c:ser>
        <c:ser>
          <c:idx val="5"/>
          <c:order val="9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Table1[[#Headers],[Standard Deviation]]</c:f>
                  <c:strCache>
                    <c:ptCount val="1"/>
                    <c:pt idx="0">
                      <c:v>Standard Deviation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{F8423C6E-3365-43CB-958A-445E7D0BE63A}</c15:txfldGUID>
                      <c15:f>Table1[[#Headers],[Standard Deviation]]</c15:f>
                      <c15:dlblFieldTableCache>
                        <c:ptCount val="1"/>
                        <c:pt idx="0">
                          <c:v>Standard Deviation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330-4F13-BD2A-FCDCF4B18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IntersectionTurns!$F$2:$F$15</c:f>
              <c:numCache>
                <c:formatCode>General</c:formatCode>
                <c:ptCount val="14"/>
                <c:pt idx="0">
                  <c:v>0.97496125592222938</c:v>
                </c:pt>
                <c:pt idx="1">
                  <c:v>0.97496125592222938</c:v>
                </c:pt>
                <c:pt idx="2">
                  <c:v>0.97496125592222938</c:v>
                </c:pt>
                <c:pt idx="3">
                  <c:v>0.97496125592222938</c:v>
                </c:pt>
                <c:pt idx="4">
                  <c:v>0.97496125592222938</c:v>
                </c:pt>
                <c:pt idx="5">
                  <c:v>0.97496125592222938</c:v>
                </c:pt>
                <c:pt idx="6">
                  <c:v>0.97496125592222938</c:v>
                </c:pt>
                <c:pt idx="7">
                  <c:v>0.97496125592222938</c:v>
                </c:pt>
                <c:pt idx="8">
                  <c:v>0.97496125592222938</c:v>
                </c:pt>
                <c:pt idx="9">
                  <c:v>0.97496125592222938</c:v>
                </c:pt>
                <c:pt idx="10">
                  <c:v>0.97496125592222938</c:v>
                </c:pt>
                <c:pt idx="11">
                  <c:v>0.97496125592222938</c:v>
                </c:pt>
                <c:pt idx="12">
                  <c:v>0.97496125592222938</c:v>
                </c:pt>
                <c:pt idx="13">
                  <c:v>0.97496125592222938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30-4F13-BD2A-FCDCF4B18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1592077039"/>
        <c:axId val="1644401007"/>
      </c:lineChart>
      <c:catAx>
        <c:axId val="159207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Sample 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01007"/>
        <c:crosses val="autoZero"/>
        <c:auto val="1"/>
        <c:lblAlgn val="ctr"/>
        <c:lblOffset val="100"/>
        <c:noMultiLvlLbl val="0"/>
      </c:catAx>
      <c:valAx>
        <c:axId val="1644401007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Deviations</a:t>
                </a:r>
                <a:r>
                  <a:rPr lang="en-CA" baseline="0"/>
                  <a:t> From Target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Maze Solver LCD Printing Control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55208633197785E-2"/>
          <c:y val="0.16812331049855195"/>
          <c:w val="0.71942650655743856"/>
          <c:h val="0.72561391358861493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LCDPrinting!$B$2:$B$15</c:f>
              <c:numCache>
                <c:formatCode>General</c:formatCode>
                <c:ptCount val="14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-2</c:v>
                </c:pt>
                <c:pt idx="5">
                  <c:v>-3</c:v>
                </c:pt>
                <c:pt idx="6">
                  <c:v>-1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-1</c:v>
                </c:pt>
                <c:pt idx="11">
                  <c:v>-1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07-4BE0-BF42-9622A9C09F3E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Table14[[#Headers],[UCL (3σ)]]</c:f>
                  <c:strCache>
                    <c:ptCount val="1"/>
                    <c:pt idx="0">
                      <c:v>UCL (3σ)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{14A46800-A55C-42B9-B370-5E36F607CB8E}</c15:txfldGUID>
                      <c15:f>Table14[[#Headers],[UCL (3σ)]]</c15:f>
                      <c15:dlblFieldTableCache>
                        <c:ptCount val="1"/>
                        <c:pt idx="0">
                          <c:v>UCL (3σ)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F07-4BE0-BF42-9622A9C09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LCDPrinting!$C$2:$C$15</c:f>
              <c:numCache>
                <c:formatCode>General</c:formatCode>
                <c:ptCount val="14"/>
                <c:pt idx="0">
                  <c:v>2.9549101243571974</c:v>
                </c:pt>
                <c:pt idx="1">
                  <c:v>2.9549101243571974</c:v>
                </c:pt>
                <c:pt idx="2">
                  <c:v>2.9549101243571974</c:v>
                </c:pt>
                <c:pt idx="3">
                  <c:v>2.9549101243571974</c:v>
                </c:pt>
                <c:pt idx="4">
                  <c:v>2.9549101243571974</c:v>
                </c:pt>
                <c:pt idx="5">
                  <c:v>2.9549101243571974</c:v>
                </c:pt>
                <c:pt idx="6">
                  <c:v>2.9549101243571974</c:v>
                </c:pt>
                <c:pt idx="7">
                  <c:v>2.9549101243571974</c:v>
                </c:pt>
                <c:pt idx="8">
                  <c:v>2.9549101243571974</c:v>
                </c:pt>
                <c:pt idx="9">
                  <c:v>2.9549101243571974</c:v>
                </c:pt>
                <c:pt idx="10">
                  <c:v>2.9549101243571974</c:v>
                </c:pt>
                <c:pt idx="11">
                  <c:v>2.9549101243571974</c:v>
                </c:pt>
                <c:pt idx="12">
                  <c:v>2.9549101243571974</c:v>
                </c:pt>
                <c:pt idx="13">
                  <c:v>2.9549101243571974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07-4BE0-BF42-9622A9C09F3E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Table14[[#Headers],[LCL (3σ)]]</c:f>
                  <c:strCache>
                    <c:ptCount val="1"/>
                    <c:pt idx="0">
                      <c:v>LCL (3σ)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{D8EF53D0-E6BD-4E27-B43A-9D57C17EEA7D}</c15:txfldGUID>
                      <c15:f>Table14[[#Headers],[LCL (3σ)]]</c15:f>
                      <c15:dlblFieldTableCache>
                        <c:ptCount val="1"/>
                        <c:pt idx="0">
                          <c:v>LCL (3σ)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F07-4BE0-BF42-9622A9C09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LCDPrinting!$D$2:$D$15</c:f>
              <c:numCache>
                <c:formatCode>General</c:formatCode>
                <c:ptCount val="14"/>
                <c:pt idx="0">
                  <c:v>-4.3395255089725815</c:v>
                </c:pt>
                <c:pt idx="1">
                  <c:v>-4.3395255089725815</c:v>
                </c:pt>
                <c:pt idx="2">
                  <c:v>-4.3395255089725815</c:v>
                </c:pt>
                <c:pt idx="3">
                  <c:v>-4.3395255089725815</c:v>
                </c:pt>
                <c:pt idx="4">
                  <c:v>-4.3395255089725815</c:v>
                </c:pt>
                <c:pt idx="5">
                  <c:v>-4.3395255089725815</c:v>
                </c:pt>
                <c:pt idx="6">
                  <c:v>-4.3395255089725815</c:v>
                </c:pt>
                <c:pt idx="7">
                  <c:v>-4.3395255089725815</c:v>
                </c:pt>
                <c:pt idx="8">
                  <c:v>-4.3395255089725815</c:v>
                </c:pt>
                <c:pt idx="9">
                  <c:v>-4.3395255089725815</c:v>
                </c:pt>
                <c:pt idx="10">
                  <c:v>-4.3395255089725815</c:v>
                </c:pt>
                <c:pt idx="11">
                  <c:v>-4.3395255089725815</c:v>
                </c:pt>
                <c:pt idx="12">
                  <c:v>-4.3395255089725815</c:v>
                </c:pt>
                <c:pt idx="13">
                  <c:v>-4.3395255089725815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07-4BE0-BF42-9622A9C09F3E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07-4BE0-BF42-9622A9C09F3E}"/>
                </c:ext>
              </c:extLst>
            </c:dLbl>
            <c:dLbl>
              <c:idx val="13"/>
              <c:tx>
                <c:strRef>
                  <c:f>Table14[[#Headers],[Mean]]</c:f>
                  <c:strCache>
                    <c:ptCount val="1"/>
                    <c:pt idx="0">
                      <c:v>Mean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{9538CD7D-89AE-4F03-AB6D-A9C7932101B4}</c15:txfldGUID>
                      <c15:f>Table14[[#Headers],[Mean]]</c15:f>
                      <c15:dlblFieldTableCache>
                        <c:ptCount val="1"/>
                        <c:pt idx="0">
                          <c:v>Mean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F07-4BE0-BF42-9622A9C09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LCDPrinting!$E$2:$E$15</c:f>
              <c:numCache>
                <c:formatCode>General</c:formatCode>
                <c:ptCount val="14"/>
                <c:pt idx="0">
                  <c:v>-0.69230769230769229</c:v>
                </c:pt>
                <c:pt idx="1">
                  <c:v>-0.69230769230769229</c:v>
                </c:pt>
                <c:pt idx="2">
                  <c:v>-0.69230769230769229</c:v>
                </c:pt>
                <c:pt idx="3">
                  <c:v>-0.69230769230769229</c:v>
                </c:pt>
                <c:pt idx="4">
                  <c:v>-0.69230769230769229</c:v>
                </c:pt>
                <c:pt idx="5">
                  <c:v>-0.69230769230769229</c:v>
                </c:pt>
                <c:pt idx="6">
                  <c:v>-0.69230769230769229</c:v>
                </c:pt>
                <c:pt idx="7">
                  <c:v>-0.69230769230769229</c:v>
                </c:pt>
                <c:pt idx="8">
                  <c:v>-0.69230769230769229</c:v>
                </c:pt>
                <c:pt idx="9">
                  <c:v>-0.69230769230769229</c:v>
                </c:pt>
                <c:pt idx="10">
                  <c:v>-0.69230769230769229</c:v>
                </c:pt>
                <c:pt idx="11">
                  <c:v>-0.69230769230769229</c:v>
                </c:pt>
                <c:pt idx="12">
                  <c:v>-0.69230769230769229</c:v>
                </c:pt>
                <c:pt idx="13">
                  <c:v>-0.69230769230769229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07-4BE0-BF42-9622A9C09F3E}"/>
            </c:ext>
          </c:extLst>
        </c:ser>
        <c:ser>
          <c:idx val="4"/>
          <c:order val="4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"/>
              <c:tx>
                <c:strRef>
                  <c:f>Table14[[#Headers],[Standard Deviation]]</c:f>
                  <c:strCache>
                    <c:ptCount val="1"/>
                    <c:pt idx="0">
                      <c:v>Standard Deviation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{A9B5115D-3315-4423-9E5A-7D120C8C45CA}</c15:txfldGUID>
                      <c15:f>Table14[[#Headers],[Standard Deviation]]</c15:f>
                      <c15:dlblFieldTableCache>
                        <c:ptCount val="1"/>
                        <c:pt idx="0">
                          <c:v>Standard Deviation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F07-4BE0-BF42-9622A9C09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LCDPrinting!$F$2:$F$15</c:f>
              <c:numCache>
                <c:formatCode>General</c:formatCode>
                <c:ptCount val="14"/>
                <c:pt idx="0">
                  <c:v>1.2157392722216298</c:v>
                </c:pt>
                <c:pt idx="1">
                  <c:v>1.2157392722216298</c:v>
                </c:pt>
                <c:pt idx="2">
                  <c:v>1.2157392722216298</c:v>
                </c:pt>
                <c:pt idx="3">
                  <c:v>1.2157392722216298</c:v>
                </c:pt>
                <c:pt idx="4">
                  <c:v>1.2157392722216298</c:v>
                </c:pt>
                <c:pt idx="5">
                  <c:v>1.2157392722216298</c:v>
                </c:pt>
                <c:pt idx="6">
                  <c:v>1.2157392722216298</c:v>
                </c:pt>
                <c:pt idx="7">
                  <c:v>1.2157392722216298</c:v>
                </c:pt>
                <c:pt idx="8">
                  <c:v>1.2157392722216298</c:v>
                </c:pt>
                <c:pt idx="9">
                  <c:v>1.2157392722216298</c:v>
                </c:pt>
                <c:pt idx="10">
                  <c:v>1.2157392722216298</c:v>
                </c:pt>
                <c:pt idx="11">
                  <c:v>1.2157392722216298</c:v>
                </c:pt>
                <c:pt idx="12">
                  <c:v>1.2157392722216298</c:v>
                </c:pt>
                <c:pt idx="13">
                  <c:v>1.2157392722216298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07-4BE0-BF42-9622A9C0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1938667583"/>
        <c:axId val="1942409359"/>
      </c:lineChart>
      <c:catAx>
        <c:axId val="1938667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Sample 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09359"/>
        <c:crosses val="autoZero"/>
        <c:auto val="1"/>
        <c:lblAlgn val="ctr"/>
        <c:lblOffset val="100"/>
        <c:noMultiLvlLbl val="0"/>
      </c:catAx>
      <c:valAx>
        <c:axId val="19424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Deviations From 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6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15</xdr:row>
      <xdr:rowOff>76199</xdr:rowOff>
    </xdr:from>
    <xdr:to>
      <xdr:col>6</xdr:col>
      <xdr:colOff>400050</xdr:colOff>
      <xdr:row>31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DC97C4-DAE9-429C-8DA5-62996D76A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1785937</xdr:colOff>
      <xdr:row>16</xdr:row>
      <xdr:rowOff>14287</xdr:rowOff>
    </xdr:from>
    <xdr:to>
      <xdr:col>6</xdr:col>
      <xdr:colOff>571500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5F1F8-431C-4F13-B50B-93DCBFEAC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19F0A-8E6D-4DF0-A47E-FB8696E50EAA}" name="Table1" displayName="Table1" ref="A1:F15" totalsRowShown="0">
  <autoFilter ref="A1:F15" xr:uid="{2A105045-6392-4A87-A12D-7FE9C28DB9BF}"/>
  <tableColumns count="6">
    <tableColumn id="1" xr3:uid="{88C2957B-815A-4DF3-A0DF-D12FA863FA6F}" name="Sample Run" dataDxfId="7"/>
    <tableColumn id="2" xr3:uid="{D3D11D84-F948-4EC1-939E-30EE70A0DBA2}" name="Deviation From Target (didn’t complete intersection properly)" dataDxfId="6"/>
    <tableColumn id="3" xr3:uid="{BAE9694A-0D3C-409C-ABB5-7FB73C385597}" name="UCL (3σ)">
      <calculatedColumnFormula>Table1[[#This Row],[Mean]]+(3*Table1[[#This Row],[Standard Deviation]])</calculatedColumnFormula>
    </tableColumn>
    <tableColumn id="4" xr3:uid="{27151362-A1BB-4BE8-8199-3761A02B57E9}" name="LCL (3σ)"/>
    <tableColumn id="5" xr3:uid="{50A8E65E-CB80-4EF2-94EF-A54D56995468}" name="Mean" dataDxfId="5">
      <calculatedColumnFormula>$J$3</calculatedColumnFormula>
    </tableColumn>
    <tableColumn id="6" xr3:uid="{712D4EFC-3F53-46CF-BAAB-C221CF7AE35A}" name="Standard Deviation" dataDxfId="4">
      <calculatedColumnFormula>$J$4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A94F65-5F29-4B6D-966F-97D8EC49D8E4}" name="Table14" displayName="Table14" ref="A1:F15" totalsRowShown="0">
  <autoFilter ref="A1:F15" xr:uid="{5730F71D-4126-45DD-960A-16095CBA6123}"/>
  <tableColumns count="6">
    <tableColumn id="1" xr3:uid="{3178D7F2-5CF0-4785-B81F-08628A407609}" name="Sample Run" dataDxfId="3"/>
    <tableColumn id="2" xr3:uid="{18521635-883F-477B-A1C2-893FACAC62CC}" name="Deviation From Target (missed a turn -1, counted extra turn +1)" dataDxfId="2"/>
    <tableColumn id="3" xr3:uid="{C7269B04-58AD-4C25-8ECF-95BD40DF3878}" name="UCL (3σ)">
      <calculatedColumnFormula>Table14[[#This Row],[Mean]]+(3*Table14[[#This Row],[Standard Deviation]])</calculatedColumnFormula>
    </tableColumn>
    <tableColumn id="4" xr3:uid="{7444738C-EAEB-4CD7-9F84-04BC631C5805}" name="LCL (3σ)">
      <calculatedColumnFormula>Table14[[#This Row],[Mean]]-(3*Table14[[#This Row],[Standard Deviation]])</calculatedColumnFormula>
    </tableColumn>
    <tableColumn id="5" xr3:uid="{4B8DF68A-C5FE-466E-88DC-C636D4657BFD}" name="Mean" dataDxfId="1">
      <calculatedColumnFormula>$J$2</calculatedColumnFormula>
    </tableColumn>
    <tableColumn id="6" xr3:uid="{F3A2D2B6-E24A-4B33-B971-CEF7E2CF692E}" name="Standard Deviation" dataDxfId="0">
      <calculatedColumnFormula>$J$3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898E-B519-4832-8BDF-2A7C76F1EA43}">
  <dimension ref="A1:J15"/>
  <sheetViews>
    <sheetView workbookViewId="0">
      <selection sqref="A1:F15"/>
    </sheetView>
  </sheetViews>
  <sheetFormatPr defaultRowHeight="15" x14ac:dyDescent="0.25"/>
  <cols>
    <col min="1" max="1" width="14.7109375" customWidth="1"/>
    <col min="2" max="2" width="57.85546875" customWidth="1"/>
    <col min="6" max="6" width="20" customWidth="1"/>
  </cols>
  <sheetData>
    <row r="1" spans="1:10" x14ac:dyDescent="0.25">
      <c r="A1" t="s">
        <v>0</v>
      </c>
      <c r="B1" t="s">
        <v>1</v>
      </c>
      <c r="C1" t="s">
        <v>5</v>
      </c>
      <c r="D1" t="s">
        <v>4</v>
      </c>
      <c r="E1" t="s">
        <v>2</v>
      </c>
      <c r="F1" t="s">
        <v>3</v>
      </c>
    </row>
    <row r="2" spans="1:10" x14ac:dyDescent="0.25">
      <c r="A2" s="1">
        <v>1</v>
      </c>
      <c r="B2" s="1">
        <v>1</v>
      </c>
      <c r="C2">
        <f>Table1[[#This Row],[Mean]]+(3*Table1[[#This Row],[Standard Deviation]])</f>
        <v>5.1391694820524023</v>
      </c>
      <c r="D2">
        <f>Table1[[#This Row],[Mean]]-(3*Table1[[#This Row],[Standard Deviation]])</f>
        <v>-0.71059805348097349</v>
      </c>
      <c r="E2">
        <f t="shared" ref="E2:E15" si="0">$J$3</f>
        <v>2.2142857142857144</v>
      </c>
      <c r="F2">
        <f t="shared" ref="F2:F15" si="1">$J$4</f>
        <v>0.97496125592222938</v>
      </c>
    </row>
    <row r="3" spans="1:10" x14ac:dyDescent="0.25">
      <c r="A3" s="1">
        <v>2</v>
      </c>
      <c r="B3" s="1">
        <v>3</v>
      </c>
      <c r="C3">
        <f>Table1[[#This Row],[Mean]]+(3*Table1[[#This Row],[Standard Deviation]])</f>
        <v>5.1391694820524023</v>
      </c>
      <c r="D3">
        <f>Table1[[#This Row],[Mean]]-(3*Table1[[#This Row],[Standard Deviation]])</f>
        <v>-0.71059805348097349</v>
      </c>
      <c r="E3">
        <f t="shared" si="0"/>
        <v>2.2142857142857144</v>
      </c>
      <c r="F3">
        <f t="shared" si="1"/>
        <v>0.97496125592222938</v>
      </c>
      <c r="I3" t="s">
        <v>2</v>
      </c>
      <c r="J3" s="2">
        <f>AVERAGE(B2:B15)</f>
        <v>2.2142857142857144</v>
      </c>
    </row>
    <row r="4" spans="1:10" x14ac:dyDescent="0.25">
      <c r="A4" s="1">
        <v>3</v>
      </c>
      <c r="B4" s="1">
        <v>4</v>
      </c>
      <c r="C4">
        <f>Table1[[#This Row],[Mean]]+(3*Table1[[#This Row],[Standard Deviation]])</f>
        <v>5.1391694820524023</v>
      </c>
      <c r="D4">
        <f>Table1[[#This Row],[Mean]]-(3*Table1[[#This Row],[Standard Deviation]])</f>
        <v>-0.71059805348097349</v>
      </c>
      <c r="E4">
        <f t="shared" si="0"/>
        <v>2.2142857142857144</v>
      </c>
      <c r="F4">
        <f t="shared" si="1"/>
        <v>0.97496125592222938</v>
      </c>
      <c r="I4" t="s">
        <v>6</v>
      </c>
      <c r="J4" s="2">
        <f>_xlfn.STDEV.S(B2:B15)</f>
        <v>0.97496125592222938</v>
      </c>
    </row>
    <row r="5" spans="1:10" x14ac:dyDescent="0.25">
      <c r="A5" s="1">
        <v>4</v>
      </c>
      <c r="B5" s="1">
        <v>3</v>
      </c>
      <c r="C5">
        <f>Table1[[#This Row],[Mean]]+(3*Table1[[#This Row],[Standard Deviation]])</f>
        <v>5.1391694820524023</v>
      </c>
      <c r="D5">
        <f>Table1[[#This Row],[Mean]]-(3*Table1[[#This Row],[Standard Deviation]])</f>
        <v>-0.71059805348097349</v>
      </c>
      <c r="E5">
        <f t="shared" si="0"/>
        <v>2.2142857142857144</v>
      </c>
      <c r="F5">
        <f t="shared" si="1"/>
        <v>0.97496125592222938</v>
      </c>
    </row>
    <row r="6" spans="1:10" x14ac:dyDescent="0.25">
      <c r="A6" s="1">
        <v>5</v>
      </c>
      <c r="B6" s="1">
        <v>3</v>
      </c>
      <c r="C6">
        <f>Table1[[#This Row],[Mean]]+(3*Table1[[#This Row],[Standard Deviation]])</f>
        <v>5.1391694820524023</v>
      </c>
      <c r="D6">
        <f>Table1[[#This Row],[Mean]]-(3*Table1[[#This Row],[Standard Deviation]])</f>
        <v>-0.71059805348097349</v>
      </c>
      <c r="E6">
        <f t="shared" si="0"/>
        <v>2.2142857142857144</v>
      </c>
      <c r="F6">
        <f t="shared" si="1"/>
        <v>0.97496125592222938</v>
      </c>
    </row>
    <row r="7" spans="1:10" x14ac:dyDescent="0.25">
      <c r="A7" s="1">
        <v>6</v>
      </c>
      <c r="B7" s="1">
        <v>3</v>
      </c>
      <c r="C7">
        <f>Table1[[#This Row],[Mean]]+(3*Table1[[#This Row],[Standard Deviation]])</f>
        <v>5.1391694820524023</v>
      </c>
      <c r="D7">
        <f>Table1[[#This Row],[Mean]]-(3*Table1[[#This Row],[Standard Deviation]])</f>
        <v>-0.71059805348097349</v>
      </c>
      <c r="E7">
        <f t="shared" si="0"/>
        <v>2.2142857142857144</v>
      </c>
      <c r="F7">
        <f t="shared" si="1"/>
        <v>0.97496125592222938</v>
      </c>
    </row>
    <row r="8" spans="1:10" x14ac:dyDescent="0.25">
      <c r="A8" s="1">
        <v>7</v>
      </c>
      <c r="B8" s="1">
        <v>2</v>
      </c>
      <c r="C8">
        <f>Table1[[#This Row],[Mean]]+(3*Table1[[#This Row],[Standard Deviation]])</f>
        <v>5.1391694820524023</v>
      </c>
      <c r="D8">
        <f>Table1[[#This Row],[Mean]]-(3*Table1[[#This Row],[Standard Deviation]])</f>
        <v>-0.71059805348097349</v>
      </c>
      <c r="E8">
        <f t="shared" si="0"/>
        <v>2.2142857142857144</v>
      </c>
      <c r="F8">
        <f t="shared" si="1"/>
        <v>0.97496125592222938</v>
      </c>
    </row>
    <row r="9" spans="1:10" x14ac:dyDescent="0.25">
      <c r="A9" s="1">
        <v>8</v>
      </c>
      <c r="B9" s="1">
        <v>2</v>
      </c>
      <c r="C9">
        <f>Table1[[#This Row],[Mean]]+(3*Table1[[#This Row],[Standard Deviation]])</f>
        <v>5.1391694820524023</v>
      </c>
      <c r="D9">
        <f>Table1[[#This Row],[Mean]]-(3*Table1[[#This Row],[Standard Deviation]])</f>
        <v>-0.71059805348097349</v>
      </c>
      <c r="E9">
        <f t="shared" si="0"/>
        <v>2.2142857142857144</v>
      </c>
      <c r="F9">
        <f t="shared" si="1"/>
        <v>0.97496125592222938</v>
      </c>
    </row>
    <row r="10" spans="1:10" x14ac:dyDescent="0.25">
      <c r="A10" s="1">
        <v>9</v>
      </c>
      <c r="B10" s="1">
        <v>1</v>
      </c>
      <c r="C10">
        <f>Table1[[#This Row],[Mean]]+(3*Table1[[#This Row],[Standard Deviation]])</f>
        <v>5.1391694820524023</v>
      </c>
      <c r="D10">
        <f>Table1[[#This Row],[Mean]]-(3*Table1[[#This Row],[Standard Deviation]])</f>
        <v>-0.71059805348097349</v>
      </c>
      <c r="E10">
        <f t="shared" si="0"/>
        <v>2.2142857142857144</v>
      </c>
      <c r="F10">
        <f t="shared" si="1"/>
        <v>0.97496125592222938</v>
      </c>
    </row>
    <row r="11" spans="1:10" x14ac:dyDescent="0.25">
      <c r="A11" s="1">
        <v>10</v>
      </c>
      <c r="B11" s="1">
        <v>2</v>
      </c>
      <c r="C11">
        <f>Table1[[#This Row],[Mean]]+(3*Table1[[#This Row],[Standard Deviation]])</f>
        <v>5.1391694820524023</v>
      </c>
      <c r="D11">
        <f>Table1[[#This Row],[Mean]]-(3*Table1[[#This Row],[Standard Deviation]])</f>
        <v>-0.71059805348097349</v>
      </c>
      <c r="E11">
        <f t="shared" si="0"/>
        <v>2.2142857142857144</v>
      </c>
      <c r="F11">
        <f t="shared" si="1"/>
        <v>0.97496125592222938</v>
      </c>
    </row>
    <row r="12" spans="1:10" x14ac:dyDescent="0.25">
      <c r="A12" s="1">
        <v>11</v>
      </c>
      <c r="B12" s="1">
        <v>3</v>
      </c>
      <c r="C12">
        <f>Table1[[#This Row],[Mean]]+(3*Table1[[#This Row],[Standard Deviation]])</f>
        <v>5.1391694820524023</v>
      </c>
      <c r="D12">
        <f>Table1[[#This Row],[Mean]]-(3*Table1[[#This Row],[Standard Deviation]])</f>
        <v>-0.71059805348097349</v>
      </c>
      <c r="E12">
        <f t="shared" si="0"/>
        <v>2.2142857142857144</v>
      </c>
      <c r="F12">
        <f t="shared" si="1"/>
        <v>0.97496125592222938</v>
      </c>
    </row>
    <row r="13" spans="1:10" x14ac:dyDescent="0.25">
      <c r="A13" s="1">
        <v>12</v>
      </c>
      <c r="B13" s="1">
        <v>2</v>
      </c>
      <c r="C13">
        <f>Table1[[#This Row],[Mean]]+(3*Table1[[#This Row],[Standard Deviation]])</f>
        <v>5.1391694820524023</v>
      </c>
      <c r="D13">
        <f>Table1[[#This Row],[Mean]]-(3*Table1[[#This Row],[Standard Deviation]])</f>
        <v>-0.71059805348097349</v>
      </c>
      <c r="E13">
        <f t="shared" si="0"/>
        <v>2.2142857142857144</v>
      </c>
      <c r="F13">
        <f t="shared" si="1"/>
        <v>0.97496125592222938</v>
      </c>
    </row>
    <row r="14" spans="1:10" x14ac:dyDescent="0.25">
      <c r="A14" s="1">
        <v>13</v>
      </c>
      <c r="B14" s="1">
        <v>1</v>
      </c>
      <c r="C14">
        <f>Table1[[#This Row],[Mean]]+(3*Table1[[#This Row],[Standard Deviation]])</f>
        <v>5.1391694820524023</v>
      </c>
      <c r="D14">
        <f>Table1[[#This Row],[Mean]]-(3*Table1[[#This Row],[Standard Deviation]])</f>
        <v>-0.71059805348097349</v>
      </c>
      <c r="E14">
        <f t="shared" si="0"/>
        <v>2.2142857142857144</v>
      </c>
      <c r="F14">
        <f t="shared" si="1"/>
        <v>0.97496125592222938</v>
      </c>
    </row>
    <row r="15" spans="1:10" x14ac:dyDescent="0.25">
      <c r="A15" s="1">
        <v>14</v>
      </c>
      <c r="B15" s="1">
        <v>1</v>
      </c>
      <c r="C15">
        <f>Table1[[#This Row],[Mean]]+(3*Table1[[#This Row],[Standard Deviation]])</f>
        <v>5.1391694820524023</v>
      </c>
      <c r="D15">
        <f>Table1[[#This Row],[Mean]]-(3*Table1[[#This Row],[Standard Deviation]])</f>
        <v>-0.71059805348097349</v>
      </c>
      <c r="E15">
        <f t="shared" si="0"/>
        <v>2.2142857142857144</v>
      </c>
      <c r="F15">
        <f t="shared" si="1"/>
        <v>0.97496125592222938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444D-FBF0-49DB-AFEE-6ABF80826C06}">
  <dimension ref="A1:J15"/>
  <sheetViews>
    <sheetView tabSelected="1" workbookViewId="0">
      <selection activeCell="G5" sqref="G5"/>
    </sheetView>
  </sheetViews>
  <sheetFormatPr defaultRowHeight="15" x14ac:dyDescent="0.25"/>
  <cols>
    <col min="1" max="1" width="13.7109375" bestFit="1" customWidth="1"/>
    <col min="2" max="2" width="59.5703125" bestFit="1" customWidth="1"/>
    <col min="3" max="3" width="10.7109375" bestFit="1" customWidth="1"/>
    <col min="4" max="4" width="10.140625" bestFit="1" customWidth="1"/>
    <col min="5" max="5" width="8.42578125" bestFit="1" customWidth="1"/>
    <col min="6" max="6" width="20.42578125" bestFit="1" customWidth="1"/>
  </cols>
  <sheetData>
    <row r="1" spans="1:10" x14ac:dyDescent="0.25">
      <c r="A1" t="s">
        <v>0</v>
      </c>
      <c r="B1" t="s">
        <v>7</v>
      </c>
      <c r="C1" t="s">
        <v>5</v>
      </c>
      <c r="D1" t="s">
        <v>4</v>
      </c>
      <c r="E1" t="s">
        <v>2</v>
      </c>
      <c r="F1" t="s">
        <v>3</v>
      </c>
    </row>
    <row r="2" spans="1:10" x14ac:dyDescent="0.25">
      <c r="A2" s="1">
        <v>1</v>
      </c>
      <c r="B2" s="1">
        <v>-2</v>
      </c>
      <c r="C2">
        <f>Table14[[#This Row],[Mean]]+(3*Table14[[#This Row],[Standard Deviation]])</f>
        <v>2.9549101243571974</v>
      </c>
      <c r="D2">
        <f>Table14[[#This Row],[Mean]]-(3*Table14[[#This Row],[Standard Deviation]])</f>
        <v>-4.3395255089725815</v>
      </c>
      <c r="E2">
        <f t="shared" ref="E2:E15" si="0">$J$2</f>
        <v>-0.69230769230769229</v>
      </c>
      <c r="F2">
        <f t="shared" ref="F2:F15" si="1">$J$3</f>
        <v>1.2157392722216298</v>
      </c>
      <c r="I2" t="s">
        <v>2</v>
      </c>
      <c r="J2" s="2">
        <f>AVERAGE(B1:B14)</f>
        <v>-0.69230769230769229</v>
      </c>
    </row>
    <row r="3" spans="1:10" x14ac:dyDescent="0.25">
      <c r="A3" s="1">
        <v>2</v>
      </c>
      <c r="B3" s="1">
        <v>-1</v>
      </c>
      <c r="C3">
        <f>Table14[[#This Row],[Mean]]+(3*Table14[[#This Row],[Standard Deviation]])</f>
        <v>2.9549101243571974</v>
      </c>
      <c r="D3">
        <f>Table14[[#This Row],[Mean]]-(3*Table14[[#This Row],[Standard Deviation]])</f>
        <v>-4.3395255089725815</v>
      </c>
      <c r="E3">
        <f t="shared" si="0"/>
        <v>-0.69230769230769229</v>
      </c>
      <c r="F3">
        <f t="shared" si="1"/>
        <v>1.2157392722216298</v>
      </c>
      <c r="I3" t="s">
        <v>6</v>
      </c>
      <c r="J3" s="2">
        <f>_xlfn.STDEV.S(B2:B15)</f>
        <v>1.2157392722216298</v>
      </c>
    </row>
    <row r="4" spans="1:10" x14ac:dyDescent="0.25">
      <c r="A4" s="1">
        <v>3</v>
      </c>
      <c r="B4" s="1">
        <v>1</v>
      </c>
      <c r="C4">
        <f>Table14[[#This Row],[Mean]]+(3*Table14[[#This Row],[Standard Deviation]])</f>
        <v>2.9549101243571974</v>
      </c>
      <c r="D4">
        <f>Table14[[#This Row],[Mean]]-(3*Table14[[#This Row],[Standard Deviation]])</f>
        <v>-4.3395255089725815</v>
      </c>
      <c r="E4">
        <f t="shared" si="0"/>
        <v>-0.69230769230769229</v>
      </c>
      <c r="F4">
        <f t="shared" si="1"/>
        <v>1.2157392722216298</v>
      </c>
    </row>
    <row r="5" spans="1:10" x14ac:dyDescent="0.25">
      <c r="A5" s="1">
        <v>4</v>
      </c>
      <c r="B5" s="1">
        <v>-1</v>
      </c>
      <c r="C5">
        <f>Table14[[#This Row],[Mean]]+(3*Table14[[#This Row],[Standard Deviation]])</f>
        <v>2.9549101243571974</v>
      </c>
      <c r="D5">
        <f>Table14[[#This Row],[Mean]]-(3*Table14[[#This Row],[Standard Deviation]])</f>
        <v>-4.3395255089725815</v>
      </c>
      <c r="E5">
        <f t="shared" si="0"/>
        <v>-0.69230769230769229</v>
      </c>
      <c r="F5">
        <f t="shared" si="1"/>
        <v>1.2157392722216298</v>
      </c>
    </row>
    <row r="6" spans="1:10" x14ac:dyDescent="0.25">
      <c r="A6" s="1">
        <v>5</v>
      </c>
      <c r="B6" s="1">
        <v>-2</v>
      </c>
      <c r="C6">
        <f>Table14[[#This Row],[Mean]]+(3*Table14[[#This Row],[Standard Deviation]])</f>
        <v>2.9549101243571974</v>
      </c>
      <c r="D6">
        <f>Table14[[#This Row],[Mean]]-(3*Table14[[#This Row],[Standard Deviation]])</f>
        <v>-4.3395255089725815</v>
      </c>
      <c r="E6">
        <f t="shared" si="0"/>
        <v>-0.69230769230769229</v>
      </c>
      <c r="F6">
        <f t="shared" si="1"/>
        <v>1.2157392722216298</v>
      </c>
    </row>
    <row r="7" spans="1:10" x14ac:dyDescent="0.25">
      <c r="A7" s="1">
        <v>6</v>
      </c>
      <c r="B7" s="1">
        <v>-3</v>
      </c>
      <c r="C7">
        <f>Table14[[#This Row],[Mean]]+(3*Table14[[#This Row],[Standard Deviation]])</f>
        <v>2.9549101243571974</v>
      </c>
      <c r="D7">
        <f>Table14[[#This Row],[Mean]]-(3*Table14[[#This Row],[Standard Deviation]])</f>
        <v>-4.3395255089725815</v>
      </c>
      <c r="E7">
        <f t="shared" si="0"/>
        <v>-0.69230769230769229</v>
      </c>
      <c r="F7">
        <f t="shared" si="1"/>
        <v>1.2157392722216298</v>
      </c>
    </row>
    <row r="8" spans="1:10" x14ac:dyDescent="0.25">
      <c r="A8" s="1">
        <v>7</v>
      </c>
      <c r="B8" s="1">
        <v>-1</v>
      </c>
      <c r="C8">
        <f>Table14[[#This Row],[Mean]]+(3*Table14[[#This Row],[Standard Deviation]])</f>
        <v>2.9549101243571974</v>
      </c>
      <c r="D8">
        <f>Table14[[#This Row],[Mean]]-(3*Table14[[#This Row],[Standard Deviation]])</f>
        <v>-4.3395255089725815</v>
      </c>
      <c r="E8">
        <f t="shared" si="0"/>
        <v>-0.69230769230769229</v>
      </c>
      <c r="F8">
        <f t="shared" si="1"/>
        <v>1.2157392722216298</v>
      </c>
    </row>
    <row r="9" spans="1:10" x14ac:dyDescent="0.25">
      <c r="A9" s="1">
        <v>8</v>
      </c>
      <c r="B9" s="1">
        <v>1</v>
      </c>
      <c r="C9">
        <f>Table14[[#This Row],[Mean]]+(3*Table14[[#This Row],[Standard Deviation]])</f>
        <v>2.9549101243571974</v>
      </c>
      <c r="D9">
        <f>Table14[[#This Row],[Mean]]-(3*Table14[[#This Row],[Standard Deviation]])</f>
        <v>-4.3395255089725815</v>
      </c>
      <c r="E9">
        <f t="shared" si="0"/>
        <v>-0.69230769230769229</v>
      </c>
      <c r="F9">
        <f t="shared" si="1"/>
        <v>1.2157392722216298</v>
      </c>
    </row>
    <row r="10" spans="1:10" x14ac:dyDescent="0.25">
      <c r="A10" s="1">
        <v>9</v>
      </c>
      <c r="B10" s="1">
        <v>0</v>
      </c>
      <c r="C10">
        <f>Table14[[#This Row],[Mean]]+(3*Table14[[#This Row],[Standard Deviation]])</f>
        <v>2.9549101243571974</v>
      </c>
      <c r="D10">
        <f>Table14[[#This Row],[Mean]]-(3*Table14[[#This Row],[Standard Deviation]])</f>
        <v>-4.3395255089725815</v>
      </c>
      <c r="E10">
        <f t="shared" si="0"/>
        <v>-0.69230769230769229</v>
      </c>
      <c r="F10">
        <f t="shared" si="1"/>
        <v>1.2157392722216298</v>
      </c>
    </row>
    <row r="11" spans="1:10" x14ac:dyDescent="0.25">
      <c r="A11" s="1">
        <v>10</v>
      </c>
      <c r="B11" s="1">
        <v>1</v>
      </c>
      <c r="C11">
        <f>Table14[[#This Row],[Mean]]+(3*Table14[[#This Row],[Standard Deviation]])</f>
        <v>2.9549101243571974</v>
      </c>
      <c r="D11">
        <f>Table14[[#This Row],[Mean]]-(3*Table14[[#This Row],[Standard Deviation]])</f>
        <v>-4.3395255089725815</v>
      </c>
      <c r="E11">
        <f t="shared" si="0"/>
        <v>-0.69230769230769229</v>
      </c>
      <c r="F11">
        <f t="shared" si="1"/>
        <v>1.2157392722216298</v>
      </c>
    </row>
    <row r="12" spans="1:10" x14ac:dyDescent="0.25">
      <c r="A12" s="1">
        <v>11</v>
      </c>
      <c r="B12" s="1">
        <v>-1</v>
      </c>
      <c r="C12">
        <f>Table14[[#This Row],[Mean]]+(3*Table14[[#This Row],[Standard Deviation]])</f>
        <v>2.9549101243571974</v>
      </c>
      <c r="D12">
        <f>Table14[[#This Row],[Mean]]-(3*Table14[[#This Row],[Standard Deviation]])</f>
        <v>-4.3395255089725815</v>
      </c>
      <c r="E12">
        <f t="shared" si="0"/>
        <v>-0.69230769230769229</v>
      </c>
      <c r="F12">
        <f t="shared" si="1"/>
        <v>1.2157392722216298</v>
      </c>
    </row>
    <row r="13" spans="1:10" x14ac:dyDescent="0.25">
      <c r="A13" s="1">
        <v>12</v>
      </c>
      <c r="B13" s="1">
        <v>-1</v>
      </c>
      <c r="C13">
        <f>Table14[[#This Row],[Mean]]+(3*Table14[[#This Row],[Standard Deviation]])</f>
        <v>2.9549101243571974</v>
      </c>
      <c r="D13">
        <f>Table14[[#This Row],[Mean]]-(3*Table14[[#This Row],[Standard Deviation]])</f>
        <v>-4.3395255089725815</v>
      </c>
      <c r="E13">
        <f t="shared" si="0"/>
        <v>-0.69230769230769229</v>
      </c>
      <c r="F13">
        <f t="shared" si="1"/>
        <v>1.2157392722216298</v>
      </c>
    </row>
    <row r="14" spans="1:10" x14ac:dyDescent="0.25">
      <c r="A14" s="1">
        <v>13</v>
      </c>
      <c r="B14" s="1">
        <v>0</v>
      </c>
      <c r="C14">
        <f>Table14[[#This Row],[Mean]]+(3*Table14[[#This Row],[Standard Deviation]])</f>
        <v>2.9549101243571974</v>
      </c>
      <c r="D14">
        <f>Table14[[#This Row],[Mean]]-(3*Table14[[#This Row],[Standard Deviation]])</f>
        <v>-4.3395255089725815</v>
      </c>
      <c r="E14">
        <f t="shared" si="0"/>
        <v>-0.69230769230769229</v>
      </c>
      <c r="F14">
        <f t="shared" si="1"/>
        <v>1.2157392722216298</v>
      </c>
    </row>
    <row r="15" spans="1:10" x14ac:dyDescent="0.25">
      <c r="A15" s="1">
        <v>14</v>
      </c>
      <c r="B15" s="1">
        <v>0</v>
      </c>
      <c r="C15">
        <f>Table14[[#This Row],[Mean]]+(3*Table14[[#This Row],[Standard Deviation]])</f>
        <v>2.9549101243571974</v>
      </c>
      <c r="D15">
        <f>Table14[[#This Row],[Mean]]-(3*Table14[[#This Row],[Standard Deviation]])</f>
        <v>-4.3395255089725815</v>
      </c>
      <c r="E15">
        <f t="shared" si="0"/>
        <v>-0.69230769230769229</v>
      </c>
      <c r="F15">
        <f t="shared" si="1"/>
        <v>1.2157392722216298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IntersectionTurns</vt:lpstr>
      <vt:lpstr>LCDPrinting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</dc:creator>
  <cp:lastModifiedBy>Samy</cp:lastModifiedBy>
  <dcterms:created xsi:type="dcterms:W3CDTF">2020-04-04T14:33:05Z</dcterms:created>
  <dcterms:modified xsi:type="dcterms:W3CDTF">2020-04-04T15:28:07Z</dcterms:modified>
</cp:coreProperties>
</file>